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pase\Desktop\"/>
    </mc:Choice>
  </mc:AlternateContent>
  <xr:revisionPtr revIDLastSave="0" documentId="13_ncr:1_{A63D078D-E08D-46C0-A01E-A79BF7AC07F3}" xr6:coauthVersionLast="47" xr6:coauthVersionMax="47" xr10:uidLastSave="{00000000-0000-0000-0000-000000000000}"/>
  <bookViews>
    <workbookView xWindow="28680" yWindow="-120" windowWidth="51840" windowHeight="21120" xr2:uid="{DD7D5A59-9FA2-4580-874E-67EE480BFCD7}"/>
  </bookViews>
  <sheets>
    <sheet name="BO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1" l="1"/>
  <c r="N7" i="1"/>
  <c r="O7" i="1" s="1"/>
  <c r="N6" i="1"/>
  <c r="O6" i="1" s="1"/>
  <c r="N4" i="1"/>
  <c r="I7" i="1"/>
  <c r="K7" i="1" s="1"/>
  <c r="H6" i="1"/>
  <c r="I6" i="1" s="1"/>
  <c r="K6" i="1" s="1"/>
  <c r="I5" i="1"/>
  <c r="K5" i="1" s="1"/>
  <c r="N5" i="1" s="1"/>
  <c r="O5" i="1" s="1"/>
  <c r="H4" i="1"/>
  <c r="I4" i="1" s="1"/>
  <c r="K4" i="1" s="1"/>
  <c r="I3" i="1"/>
  <c r="K3" i="1" s="1"/>
  <c r="N3" i="1" s="1"/>
  <c r="O3" i="1" s="1"/>
  <c r="N10" i="1" l="1"/>
  <c r="O4" i="1"/>
  <c r="K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ORaw</author>
  </authors>
  <commentList>
    <comment ref="M2" authorId="0" shapeId="0" xr:uid="{6349D1DE-E5E2-4ED6-80C5-B0650D89DEA2}">
      <text>
        <r>
          <rPr>
            <b/>
            <sz val="9"/>
            <color rgb="FF000000"/>
            <rFont val="Tahoma"/>
            <family val="2"/>
          </rPr>
          <t xml:space="preserve">Placeholder value
</t>
        </r>
        <r>
          <rPr>
            <b/>
            <sz val="9"/>
            <color rgb="FF000000"/>
            <rFont val="Tahoma"/>
            <family val="2"/>
          </rPr>
          <t>To be provided by Sales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<sst xmlns="http://schemas.openxmlformats.org/spreadsheetml/2006/main" count="38" uniqueCount="36">
  <si>
    <t>Item</t>
  </si>
  <si>
    <t>Description</t>
  </si>
  <si>
    <t>Equipment Rack</t>
  </si>
  <si>
    <t>Uniterruptable Power Supply</t>
  </si>
  <si>
    <t>Power Distribution Unit</t>
  </si>
  <si>
    <t>Manufacturer</t>
  </si>
  <si>
    <t xml:space="preserve">Make </t>
  </si>
  <si>
    <t>Model</t>
  </si>
  <si>
    <t>Quantity</t>
  </si>
  <si>
    <t>VAT</t>
  </si>
  <si>
    <t>Percentage</t>
  </si>
  <si>
    <t>Amount</t>
  </si>
  <si>
    <t>Gross</t>
  </si>
  <si>
    <t>Total</t>
  </si>
  <si>
    <t>Labour - Consultant</t>
  </si>
  <si>
    <t>Profit</t>
  </si>
  <si>
    <t>Customer price</t>
  </si>
  <si>
    <t>E&amp;OE</t>
  </si>
  <si>
    <t>Quote valid for 30 days from date of issue</t>
  </si>
  <si>
    <t>Showgear</t>
  </si>
  <si>
    <t>APC</t>
  </si>
  <si>
    <t>SmartUPs</t>
  </si>
  <si>
    <t xml:space="preserve">Net </t>
  </si>
  <si>
    <t>42U</t>
  </si>
  <si>
    <t>Labour - Installers (Rack/UPS/PDU)</t>
  </si>
  <si>
    <t>Wiautomation - UPS</t>
  </si>
  <si>
    <t>Schneider Electric</t>
  </si>
  <si>
    <t>SMT750IC</t>
  </si>
  <si>
    <t>PDU INFINITEFIX</t>
  </si>
  <si>
    <t>AP7822B</t>
  </si>
  <si>
    <t>T&amp;L Charged at cost</t>
  </si>
  <si>
    <t>Price Reference</t>
  </si>
  <si>
    <t xml:space="preserve">                                            Mark Up                 </t>
  </si>
  <si>
    <t xml:space="preserve"> </t>
  </si>
  <si>
    <t>RCA-FSG-42U</t>
  </si>
  <si>
    <t>Showgear RCA-FSG-42 42U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</si>
</sst>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€&quot;#,##0_);[Red]\(&quot;€&quot;#,##0\)"/>
    <numFmt numFmtId="165" formatCode="&quot;€&quot;#,##0"/>
    <numFmt numFmtId="166" formatCode="0.0%"/>
    <numFmt numFmtId="168" formatCode="0.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/>
    <xf numFmtId="165" fontId="0" fillId="0" borderId="0" xfId="0" applyNumberFormat="1" applyAlignment="1">
      <alignment horizontal="center"/>
    </xf>
    <xf numFmtId="166" fontId="0" fillId="2" borderId="0" xfId="0" applyNumberFormat="1" applyFill="1" applyAlignment="1">
      <alignment horizontal="center"/>
    </xf>
    <xf numFmtId="165" fontId="0" fillId="2" borderId="0" xfId="0" applyNumberFormat="1" applyFill="1" applyAlignment="1">
      <alignment horizontal="center"/>
    </xf>
    <xf numFmtId="9" fontId="0" fillId="0" borderId="0" xfId="0" applyNumberFormat="1" applyAlignment="1">
      <alignment horizontal="center"/>
    </xf>
    <xf numFmtId="0" fontId="1" fillId="0" borderId="0" xfId="0" applyFont="1"/>
    <xf numFmtId="0" fontId="2" fillId="0" borderId="0" xfId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 textRotation="90"/>
    </xf>
    <xf numFmtId="0" fontId="1" fillId="0" borderId="0" xfId="0" applyFont="1" applyAlignment="1">
      <alignment textRotation="90"/>
    </xf>
    <xf numFmtId="165" fontId="1" fillId="0" borderId="0" xfId="0" applyNumberFormat="1" applyFont="1" applyAlignment="1">
      <alignment horizontal="center" textRotation="90"/>
    </xf>
    <xf numFmtId="166" fontId="1" fillId="2" borderId="0" xfId="0" applyNumberFormat="1" applyFont="1" applyFill="1" applyAlignment="1">
      <alignment horizontal="center" textRotation="90"/>
    </xf>
    <xf numFmtId="165" fontId="1" fillId="2" borderId="0" xfId="0" applyNumberFormat="1" applyFont="1" applyFill="1" applyAlignment="1">
      <alignment horizontal="center" textRotation="90"/>
    </xf>
    <xf numFmtId="9" fontId="1" fillId="0" borderId="0" xfId="0" applyNumberFormat="1" applyFont="1" applyAlignment="1">
      <alignment horizontal="center" textRotation="90"/>
    </xf>
    <xf numFmtId="10" fontId="0" fillId="0" borderId="0" xfId="0" applyNumberFormat="1" applyAlignment="1">
      <alignment horizontal="center"/>
    </xf>
    <xf numFmtId="165" fontId="1" fillId="0" borderId="0" xfId="0" applyNumberFormat="1" applyFont="1" applyAlignment="1">
      <alignment horizontal="center"/>
    </xf>
    <xf numFmtId="9" fontId="1" fillId="0" borderId="0" xfId="0" applyNumberFormat="1" applyFont="1" applyAlignment="1"/>
    <xf numFmtId="168" fontId="1" fillId="3" borderId="0" xfId="0" applyNumberFormat="1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finitefix.ie/detail/1757518828671481apc-ap7822b-power-distribution-unit-pdu-16-ac-outlets-2u-black/?gad_source=1&amp;gad_campaignid=23148094468&amp;gbraid=0AAAAADOPmmweh0AuUWaJpUXjgHRzuEGvy&amp;gclid=Cj0KCQiA1czLBhDhARIsAIEc7uhR5a1FZF3jPYlza9LndcSqZzJJGtA7DseFWJpIIbYggX_6Gyac-SsaAke1EALw_wcB" TargetMode="External"/><Relationship Id="rId2" Type="http://schemas.openxmlformats.org/officeDocument/2006/relationships/hyperlink" Target="https://ie.wiautomation.com/schneider-electric/power-supply/smt750ic?utm_source=google&amp;utm_medium=cpc&amp;utm_campaign=IE_pmax_schneider_electric&amp;gad_source=1&amp;gad_campaignid=19600748332&amp;gbraid=0AAAAAC2XDKDAkMHfxdgW_8YlfHS8KM1Co&amp;gclid=Cj0KCQiA1czLBhDhARIsAIEc7uinmLPhsBp3lBc4hY_rf4JkQkZwMzUpsamoW0QDjZQMfN3NELHfXh8aAu2pEALw_wcB" TargetMode="External"/><Relationship Id="rId1" Type="http://schemas.openxmlformats.org/officeDocument/2006/relationships/hyperlink" Target="https://www.dj-solutions.ie/store/hardware/showgear-rca-fsg-network-cabinet-glass-door-42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0191C-A9C4-44AE-90A5-8BE6E1BD3BE5}">
  <dimension ref="A1:P40"/>
  <sheetViews>
    <sheetView tabSelected="1" zoomScale="112" workbookViewId="0">
      <pane ySplit="2" topLeftCell="A3" activePane="bottomLeft" state="frozen"/>
      <selection pane="bottomLeft" activeCell="L29" sqref="L29"/>
    </sheetView>
  </sheetViews>
  <sheetFormatPr defaultColWidth="8.77734375" defaultRowHeight="14.4" x14ac:dyDescent="0.3"/>
  <cols>
    <col min="1" max="1" width="7" style="1" customWidth="1"/>
    <col min="2" max="2" width="33.33203125" customWidth="1"/>
    <col min="3" max="3" width="17.109375" style="1" customWidth="1"/>
    <col min="4" max="4" width="13.6640625" style="1" customWidth="1"/>
    <col min="5" max="5" width="9.109375" style="1"/>
    <col min="6" max="6" width="9.109375" style="3"/>
    <col min="7" max="7" width="9.109375" style="4"/>
    <col min="8" max="8" width="9.109375" style="5"/>
    <col min="9" max="9" width="9.109375" style="3"/>
    <col min="10" max="10" width="9.109375" style="1"/>
    <col min="11" max="11" width="11.44140625" style="3" customWidth="1"/>
    <col min="12" max="12" width="34.6640625" style="1" customWidth="1"/>
    <col min="13" max="13" width="9.109375" style="6"/>
    <col min="14" max="14" width="20.6640625" style="1" customWidth="1"/>
    <col min="15" max="15" width="14.33203125" customWidth="1"/>
  </cols>
  <sheetData>
    <row r="1" spans="1:16" x14ac:dyDescent="0.3">
      <c r="G1" s="19" t="s">
        <v>9</v>
      </c>
      <c r="H1" s="19"/>
      <c r="K1" s="17">
        <f>SUM(K3:K7)</f>
        <v>28638.1</v>
      </c>
      <c r="M1" s="18" t="s">
        <v>32</v>
      </c>
      <c r="N1" s="18"/>
      <c r="O1" s="18"/>
      <c r="P1" s="2"/>
    </row>
    <row r="2" spans="1:16" s="11" customFormat="1" ht="76.2" x14ac:dyDescent="0.3">
      <c r="A2" s="10" t="s">
        <v>0</v>
      </c>
      <c r="B2" s="11" t="s">
        <v>1</v>
      </c>
      <c r="C2" s="10" t="s">
        <v>5</v>
      </c>
      <c r="D2" s="10" t="s">
        <v>6</v>
      </c>
      <c r="E2" s="10" t="s">
        <v>7</v>
      </c>
      <c r="F2" s="12" t="s">
        <v>22</v>
      </c>
      <c r="G2" s="13" t="s">
        <v>10</v>
      </c>
      <c r="H2" s="14" t="s">
        <v>11</v>
      </c>
      <c r="I2" s="12" t="s">
        <v>12</v>
      </c>
      <c r="J2" s="10" t="s">
        <v>8</v>
      </c>
      <c r="K2" s="12" t="s">
        <v>13</v>
      </c>
      <c r="L2" s="10" t="s">
        <v>31</v>
      </c>
      <c r="M2" s="15" t="s">
        <v>10</v>
      </c>
      <c r="N2" s="10" t="s">
        <v>15</v>
      </c>
      <c r="O2" s="11" t="s">
        <v>16</v>
      </c>
    </row>
    <row r="3" spans="1:16" x14ac:dyDescent="0.3">
      <c r="A3" s="1">
        <v>1</v>
      </c>
      <c r="B3" t="s">
        <v>2</v>
      </c>
      <c r="C3" s="1" t="s">
        <v>19</v>
      </c>
      <c r="D3" s="1" t="s">
        <v>34</v>
      </c>
      <c r="E3" s="1" t="s">
        <v>23</v>
      </c>
      <c r="F3" s="3">
        <v>3000</v>
      </c>
      <c r="G3" s="4">
        <v>0.23</v>
      </c>
      <c r="H3" s="5">
        <v>699</v>
      </c>
      <c r="I3" s="3">
        <f>F3 + H3</f>
        <v>3699</v>
      </c>
      <c r="J3" s="1">
        <v>3</v>
      </c>
      <c r="K3" s="3">
        <f>I3 * J3</f>
        <v>11097</v>
      </c>
      <c r="L3" s="8" t="s">
        <v>35</v>
      </c>
      <c r="M3" s="16">
        <v>0.5</v>
      </c>
      <c r="N3" s="1">
        <f t="shared" ref="N3:N4" si="0">K3*M3</f>
        <v>5548.5</v>
      </c>
      <c r="O3" s="2">
        <f>K3+N3</f>
        <v>16645.5</v>
      </c>
    </row>
    <row r="4" spans="1:16" x14ac:dyDescent="0.3">
      <c r="A4" s="1">
        <v>2</v>
      </c>
      <c r="B4" t="s">
        <v>3</v>
      </c>
      <c r="C4" s="1" t="s">
        <v>26</v>
      </c>
      <c r="D4" s="1" t="s">
        <v>21</v>
      </c>
      <c r="E4" s="1" t="s">
        <v>27</v>
      </c>
      <c r="F4" s="3">
        <v>480</v>
      </c>
      <c r="G4" s="4">
        <v>0.23</v>
      </c>
      <c r="H4" s="5">
        <f xml:space="preserve"> F4 * G4</f>
        <v>110.4</v>
      </c>
      <c r="I4" s="3">
        <f>F4 + H4</f>
        <v>590.4</v>
      </c>
      <c r="J4" s="1">
        <v>15</v>
      </c>
      <c r="K4" s="3">
        <f>I4 * J4</f>
        <v>8856</v>
      </c>
      <c r="L4" s="8" t="s">
        <v>25</v>
      </c>
      <c r="M4" s="16">
        <v>0.15</v>
      </c>
      <c r="N4" s="1">
        <f t="shared" si="0"/>
        <v>1328.3999999999999</v>
      </c>
      <c r="O4" s="2">
        <f t="shared" ref="O4:O6" si="1">K4+N4</f>
        <v>10184.4</v>
      </c>
    </row>
    <row r="5" spans="1:16" x14ac:dyDescent="0.3">
      <c r="A5" s="1">
        <v>3</v>
      </c>
      <c r="B5" t="s">
        <v>4</v>
      </c>
      <c r="C5" s="1" t="s">
        <v>20</v>
      </c>
      <c r="D5" s="1" t="s">
        <v>29</v>
      </c>
      <c r="E5" s="1" t="s">
        <v>29</v>
      </c>
      <c r="F5" s="3">
        <v>889</v>
      </c>
      <c r="G5" s="4">
        <v>0.23</v>
      </c>
      <c r="H5" s="5">
        <v>1136.7</v>
      </c>
      <c r="I5" s="3">
        <f>F5 + H5</f>
        <v>2025.7</v>
      </c>
      <c r="J5" s="1">
        <v>3</v>
      </c>
      <c r="K5" s="3">
        <f>I5 * J5</f>
        <v>6077.1</v>
      </c>
      <c r="L5" s="8" t="s">
        <v>28</v>
      </c>
      <c r="M5" s="16">
        <v>0.2</v>
      </c>
      <c r="N5" s="1">
        <f>K5*M5</f>
        <v>1215.42</v>
      </c>
      <c r="O5" s="2">
        <f t="shared" si="1"/>
        <v>7292.52</v>
      </c>
    </row>
    <row r="6" spans="1:16" x14ac:dyDescent="0.3">
      <c r="A6" s="1">
        <v>4</v>
      </c>
      <c r="B6" t="s">
        <v>24</v>
      </c>
      <c r="F6" s="3">
        <v>50</v>
      </c>
      <c r="G6" s="4">
        <v>0.13500000000000001</v>
      </c>
      <c r="H6" s="5">
        <f>F6 * G6</f>
        <v>6.75</v>
      </c>
      <c r="I6" s="3">
        <f>F6 + H6</f>
        <v>56.75</v>
      </c>
      <c r="J6" s="1">
        <v>16</v>
      </c>
      <c r="K6" s="3">
        <f>I6 * J6</f>
        <v>908</v>
      </c>
      <c r="M6" s="16">
        <v>0.2</v>
      </c>
      <c r="N6" s="1">
        <f t="shared" ref="N6:N7" si="2">K6*M6</f>
        <v>181.60000000000002</v>
      </c>
      <c r="O6" s="2">
        <f t="shared" si="1"/>
        <v>1089.5999999999999</v>
      </c>
    </row>
    <row r="7" spans="1:16" x14ac:dyDescent="0.3">
      <c r="A7" s="1">
        <v>5</v>
      </c>
      <c r="B7" t="s">
        <v>14</v>
      </c>
      <c r="F7" s="3">
        <v>150</v>
      </c>
      <c r="G7" s="4">
        <v>0.13500000000000001</v>
      </c>
      <c r="H7" s="5">
        <v>20</v>
      </c>
      <c r="I7" s="3">
        <f>F7 + H7</f>
        <v>170</v>
      </c>
      <c r="J7" s="1">
        <v>10</v>
      </c>
      <c r="K7" s="3">
        <f>I7 * J7</f>
        <v>1700</v>
      </c>
      <c r="M7" s="16">
        <v>0.2</v>
      </c>
      <c r="N7" s="1">
        <f t="shared" si="2"/>
        <v>340</v>
      </c>
      <c r="O7" s="2">
        <f>K7+N7</f>
        <v>2040</v>
      </c>
    </row>
    <row r="9" spans="1:16" x14ac:dyDescent="0.3">
      <c r="K9" s="9"/>
    </row>
    <row r="10" spans="1:16" x14ac:dyDescent="0.3">
      <c r="B10" s="7" t="s">
        <v>17</v>
      </c>
      <c r="K10" s="9">
        <f>SUM(K3:K9)</f>
        <v>28638.1</v>
      </c>
      <c r="N10" s="9">
        <f>SUM(N3:N8)</f>
        <v>8613.92</v>
      </c>
    </row>
    <row r="11" spans="1:16" x14ac:dyDescent="0.3">
      <c r="B11" s="7" t="s">
        <v>30</v>
      </c>
    </row>
    <row r="12" spans="1:16" x14ac:dyDescent="0.3">
      <c r="B12" s="7" t="s">
        <v>18</v>
      </c>
    </row>
    <row r="40" spans="3:3" x14ac:dyDescent="0.3">
      <c r="C40" s="1" t="s">
        <v>33</v>
      </c>
    </row>
  </sheetData>
  <mergeCells count="1">
    <mergeCell ref="G1:H1"/>
  </mergeCells>
  <hyperlinks>
    <hyperlink ref="L3" r:id="rId1" xr:uid="{9A108FD1-E4D0-C144-BA59-3DC3CE324451}"/>
    <hyperlink ref="L4" r:id="rId2" xr:uid="{36D22815-C54C-AF44-8915-87E317E4BC97}"/>
    <hyperlink ref="L5" r:id="rId3" xr:uid="{614FB212-C35E-0D47-94E3-3434414ABC9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ORaw</dc:creator>
  <cp:lastModifiedBy>Ayobami Pase</cp:lastModifiedBy>
  <dcterms:created xsi:type="dcterms:W3CDTF">2025-11-05T10:53:03Z</dcterms:created>
  <dcterms:modified xsi:type="dcterms:W3CDTF">2026-02-07T17:49:57Z</dcterms:modified>
</cp:coreProperties>
</file>