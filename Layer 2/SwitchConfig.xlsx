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U PROJECTS\Networking\Layer 2\"/>
    </mc:Choice>
  </mc:AlternateContent>
  <xr:revisionPtr revIDLastSave="0" documentId="13_ncr:1_{91794D5B-0BFE-437E-BB1A-6D9835A51D26}" xr6:coauthVersionLast="47" xr6:coauthVersionMax="47" xr10:uidLastSave="{00000000-0000-0000-0000-000000000000}"/>
  <bookViews>
    <workbookView xWindow="28680" yWindow="-120" windowWidth="51840" windowHeight="21120" xr2:uid="{82429686-22B6-405D-923A-AFDBCAEFCA50}"/>
  </bookViews>
  <sheets>
    <sheet name="Devices" sheetId="1" r:id="rId1"/>
    <sheet name="61" sheetId="2" r:id="rId2"/>
    <sheet name="62" sheetId="6" r:id="rId3"/>
    <sheet name="PortType" sheetId="5" r:id="rId4"/>
    <sheet name="Hosts" sheetId="4" r:id="rId5"/>
    <sheet name="Connector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E4" i="1"/>
  <c r="E3" i="1"/>
</calcChain>
</file>

<file path=xl/sharedStrings.xml><?xml version="1.0" encoding="utf-8"?>
<sst xmlns="http://schemas.openxmlformats.org/spreadsheetml/2006/main" count="140" uniqueCount="64">
  <si>
    <t>ID</t>
  </si>
  <si>
    <t>Manifacturer</t>
  </si>
  <si>
    <t>Make</t>
  </si>
  <si>
    <t>Model</t>
  </si>
  <si>
    <t>Management</t>
  </si>
  <si>
    <t>Routing</t>
  </si>
  <si>
    <t>VRRP</t>
  </si>
  <si>
    <t>Mode</t>
  </si>
  <si>
    <t>Priority</t>
  </si>
  <si>
    <t>STP</t>
  </si>
  <si>
    <t>Cisco</t>
  </si>
  <si>
    <t>Catalyst</t>
  </si>
  <si>
    <t>2960X-2410G</t>
  </si>
  <si>
    <t xml:space="preserve"> </t>
  </si>
  <si>
    <t>Yes</t>
  </si>
  <si>
    <t>Port</t>
  </si>
  <si>
    <t>Connector</t>
  </si>
  <si>
    <t>SFP-10G-SX</t>
  </si>
  <si>
    <t>DAC-Q28-100G</t>
  </si>
  <si>
    <t>RJ45</t>
  </si>
  <si>
    <t>SFP-1G-SX</t>
  </si>
  <si>
    <t>Hosts</t>
  </si>
  <si>
    <t>Server101</t>
  </si>
  <si>
    <t>Server102</t>
  </si>
  <si>
    <t>Server103</t>
  </si>
  <si>
    <t>Server104</t>
  </si>
  <si>
    <t>Server105</t>
  </si>
  <si>
    <t>Server106</t>
  </si>
  <si>
    <t>Server107</t>
  </si>
  <si>
    <t>Server108</t>
  </si>
  <si>
    <t>Server109</t>
  </si>
  <si>
    <t>Server110</t>
  </si>
  <si>
    <t>Server111</t>
  </si>
  <si>
    <t>Server112</t>
  </si>
  <si>
    <t>Server113</t>
  </si>
  <si>
    <t>mgmt-1</t>
  </si>
  <si>
    <t>mgmt-2</t>
  </si>
  <si>
    <t>Tagged-1</t>
  </si>
  <si>
    <t>Tagged-2</t>
  </si>
  <si>
    <t>Storage-1</t>
  </si>
  <si>
    <t>Storage-2</t>
  </si>
  <si>
    <t>OOBM</t>
  </si>
  <si>
    <t>Untagged</t>
  </si>
  <si>
    <t>STP Type</t>
  </si>
  <si>
    <t>Enabled</t>
  </si>
  <si>
    <t>No</t>
  </si>
  <si>
    <t>RJ46</t>
  </si>
  <si>
    <t>RJ47</t>
  </si>
  <si>
    <t>RJ48</t>
  </si>
  <si>
    <t>RJ49</t>
  </si>
  <si>
    <t>RJ50</t>
  </si>
  <si>
    <t>RJ51</t>
  </si>
  <si>
    <t>RJ52</t>
  </si>
  <si>
    <t>RJ53</t>
  </si>
  <si>
    <t>RJ54</t>
  </si>
  <si>
    <t>RJ55</t>
  </si>
  <si>
    <t>RJ56</t>
  </si>
  <si>
    <t>RJ57</t>
  </si>
  <si>
    <t>RJ58</t>
  </si>
  <si>
    <t>RJ59</t>
  </si>
  <si>
    <t>RJ60</t>
  </si>
  <si>
    <t>RJ61</t>
  </si>
  <si>
    <t>RJ62</t>
  </si>
  <si>
    <t>RJ63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</si>
</sst>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B5FD-10A0-41AC-9CCC-98A895B3A2F9}">
  <dimension ref="A1:J5"/>
  <sheetViews>
    <sheetView tabSelected="1" workbookViewId="0">
      <selection activeCell="D50" sqref="D50"/>
    </sheetView>
  </sheetViews>
  <sheetFormatPr defaultRowHeight="14.4" x14ac:dyDescent="0.3"/>
  <cols>
    <col min="2" max="2" width="18.6640625" customWidth="1"/>
    <col min="4" max="4" width="13.33203125" customWidth="1"/>
    <col min="5" max="5" width="16" style="1" customWidth="1"/>
  </cols>
  <sheetData>
    <row r="1" spans="1:10" s="2" customFormat="1" x14ac:dyDescent="0.3">
      <c r="E1" s="4"/>
      <c r="I1" s="3" t="s">
        <v>9</v>
      </c>
      <c r="J1" s="3"/>
    </row>
    <row r="2" spans="1:10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4" t="s">
        <v>4</v>
      </c>
      <c r="F2" s="3" t="s">
        <v>5</v>
      </c>
      <c r="G2" s="3"/>
      <c r="H2" s="2" t="s">
        <v>6</v>
      </c>
      <c r="I2" s="2" t="s">
        <v>7</v>
      </c>
      <c r="J2" s="2" t="s">
        <v>8</v>
      </c>
    </row>
    <row r="3" spans="1:10" x14ac:dyDescent="0.3">
      <c r="A3">
        <v>61</v>
      </c>
      <c r="B3" t="s">
        <v>10</v>
      </c>
      <c r="C3" t="s">
        <v>11</v>
      </c>
      <c r="D3" t="s">
        <v>12</v>
      </c>
      <c r="E3" s="1" t="str">
        <f>"192.168.10." &amp; A3</f>
        <v>192.168.10.61</v>
      </c>
      <c r="F3" t="s">
        <v>14</v>
      </c>
      <c r="G3">
        <f>A3</f>
        <v>61</v>
      </c>
    </row>
    <row r="4" spans="1:10" x14ac:dyDescent="0.3">
      <c r="A4">
        <v>62</v>
      </c>
      <c r="B4" t="s">
        <v>10</v>
      </c>
      <c r="C4" t="s">
        <v>11</v>
      </c>
      <c r="D4" t="s">
        <v>12</v>
      </c>
      <c r="E4" s="1" t="str">
        <f>"192.168.10." &amp; A4</f>
        <v>192.168.10.62</v>
      </c>
      <c r="F4" t="s">
        <v>14</v>
      </c>
      <c r="G4">
        <f>A4</f>
        <v>62</v>
      </c>
    </row>
    <row r="5" spans="1:10" x14ac:dyDescent="0.3">
      <c r="B5" t="s">
        <v>13</v>
      </c>
    </row>
  </sheetData>
  <mergeCells count="2">
    <mergeCell ref="F2:G2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2B78-9A83-48DA-AF6C-C6CCF63D538D}">
  <dimension ref="A1:I142"/>
  <sheetViews>
    <sheetView workbookViewId="0">
      <selection activeCell="G30" sqref="G30"/>
    </sheetView>
  </sheetViews>
  <sheetFormatPr defaultRowHeight="14.4" x14ac:dyDescent="0.3"/>
  <cols>
    <col min="1" max="1" width="8.88671875" style="1"/>
    <col min="2" max="2" width="24.77734375" style="1" customWidth="1"/>
    <col min="3" max="3" width="12.88671875" style="1" customWidth="1"/>
    <col min="4" max="4" width="17.77734375" style="1" customWidth="1"/>
    <col min="6" max="7" width="8.88671875" style="1"/>
  </cols>
  <sheetData>
    <row r="1" spans="1:7" s="6" customFormat="1" ht="52.8" x14ac:dyDescent="0.3">
      <c r="A1" s="5" t="s">
        <v>15</v>
      </c>
      <c r="B1" s="5" t="s">
        <v>16</v>
      </c>
      <c r="C1" s="5" t="s">
        <v>21</v>
      </c>
      <c r="D1" s="5" t="s">
        <v>15</v>
      </c>
      <c r="E1" s="6" t="s">
        <v>42</v>
      </c>
      <c r="F1" s="5" t="s">
        <v>43</v>
      </c>
      <c r="G1" s="5" t="s">
        <v>44</v>
      </c>
    </row>
    <row r="2" spans="1:7" x14ac:dyDescent="0.3">
      <c r="A2" s="1">
        <v>1</v>
      </c>
      <c r="B2" s="1" t="s">
        <v>19</v>
      </c>
      <c r="C2" s="1" t="s">
        <v>22</v>
      </c>
      <c r="D2" s="1" t="s">
        <v>35</v>
      </c>
      <c r="G2" t="s">
        <v>45</v>
      </c>
    </row>
    <row r="3" spans="1:7" x14ac:dyDescent="0.3">
      <c r="A3" s="1">
        <v>2</v>
      </c>
      <c r="B3" s="1" t="s">
        <v>19</v>
      </c>
      <c r="C3" s="1" t="s">
        <v>23</v>
      </c>
      <c r="D3" s="1" t="s">
        <v>35</v>
      </c>
      <c r="G3" t="s">
        <v>45</v>
      </c>
    </row>
    <row r="4" spans="1:7" x14ac:dyDescent="0.3">
      <c r="A4" s="1">
        <v>3</v>
      </c>
      <c r="B4" s="1" t="s">
        <v>19</v>
      </c>
      <c r="C4" s="1" t="s">
        <v>22</v>
      </c>
      <c r="D4" s="1" t="s">
        <v>37</v>
      </c>
      <c r="G4" t="s">
        <v>45</v>
      </c>
    </row>
    <row r="5" spans="1:7" x14ac:dyDescent="0.3">
      <c r="A5" s="1">
        <v>4</v>
      </c>
      <c r="B5" s="1" t="s">
        <v>19</v>
      </c>
      <c r="C5" s="1" t="s">
        <v>23</v>
      </c>
      <c r="G5" t="s">
        <v>45</v>
      </c>
    </row>
    <row r="6" spans="1:7" x14ac:dyDescent="0.3">
      <c r="A6" s="1">
        <v>5</v>
      </c>
      <c r="B6" s="1" t="s">
        <v>19</v>
      </c>
      <c r="C6" s="1" t="s">
        <v>22</v>
      </c>
      <c r="G6" t="s">
        <v>45</v>
      </c>
    </row>
    <row r="7" spans="1:7" x14ac:dyDescent="0.3">
      <c r="A7" s="1">
        <v>6</v>
      </c>
      <c r="B7" s="1" t="s">
        <v>19</v>
      </c>
      <c r="C7" s="1" t="s">
        <v>22</v>
      </c>
      <c r="G7" t="s">
        <v>45</v>
      </c>
    </row>
    <row r="8" spans="1:7" x14ac:dyDescent="0.3">
      <c r="A8" s="1">
        <v>7</v>
      </c>
      <c r="B8" s="1" t="s">
        <v>46</v>
      </c>
      <c r="C8" s="1" t="s">
        <v>22</v>
      </c>
      <c r="G8" t="s">
        <v>45</v>
      </c>
    </row>
    <row r="9" spans="1:7" x14ac:dyDescent="0.3">
      <c r="A9" s="1">
        <v>8</v>
      </c>
      <c r="B9" s="1" t="s">
        <v>47</v>
      </c>
      <c r="C9" s="1" t="s">
        <v>22</v>
      </c>
      <c r="G9" t="s">
        <v>45</v>
      </c>
    </row>
    <row r="10" spans="1:7" x14ac:dyDescent="0.3">
      <c r="A10" s="1">
        <v>9</v>
      </c>
      <c r="B10" s="1" t="s">
        <v>48</v>
      </c>
      <c r="C10" s="1" t="s">
        <v>22</v>
      </c>
      <c r="G10" t="s">
        <v>45</v>
      </c>
    </row>
    <row r="11" spans="1:7" x14ac:dyDescent="0.3">
      <c r="A11" s="1">
        <v>10</v>
      </c>
      <c r="B11" s="1" t="s">
        <v>49</v>
      </c>
      <c r="C11" s="1" t="s">
        <v>29</v>
      </c>
      <c r="G11" t="s">
        <v>45</v>
      </c>
    </row>
    <row r="12" spans="1:7" x14ac:dyDescent="0.3">
      <c r="A12" s="1">
        <v>11</v>
      </c>
      <c r="B12" s="1" t="s">
        <v>50</v>
      </c>
      <c r="C12" s="1" t="s">
        <v>22</v>
      </c>
      <c r="G12" t="s">
        <v>45</v>
      </c>
    </row>
    <row r="13" spans="1:7" x14ac:dyDescent="0.3">
      <c r="A13" s="1">
        <v>12</v>
      </c>
      <c r="B13" s="1" t="s">
        <v>51</v>
      </c>
      <c r="C13" s="1" t="s">
        <v>22</v>
      </c>
      <c r="G13" t="s">
        <v>45</v>
      </c>
    </row>
    <row r="14" spans="1:7" x14ac:dyDescent="0.3">
      <c r="A14" s="1">
        <v>13</v>
      </c>
      <c r="B14" s="1" t="s">
        <v>52</v>
      </c>
      <c r="C14" s="1" t="s">
        <v>22</v>
      </c>
      <c r="G14" t="s">
        <v>45</v>
      </c>
    </row>
    <row r="15" spans="1:7" x14ac:dyDescent="0.3">
      <c r="A15" s="1">
        <v>14</v>
      </c>
      <c r="B15" s="1" t="s">
        <v>53</v>
      </c>
      <c r="C15" s="1" t="s">
        <v>22</v>
      </c>
      <c r="G15" t="s">
        <v>45</v>
      </c>
    </row>
    <row r="16" spans="1:7" x14ac:dyDescent="0.3">
      <c r="A16" s="1">
        <v>15</v>
      </c>
      <c r="B16" s="1" t="s">
        <v>54</v>
      </c>
      <c r="C16" s="1" t="s">
        <v>22</v>
      </c>
      <c r="G16" t="s">
        <v>45</v>
      </c>
    </row>
    <row r="17" spans="1:7" x14ac:dyDescent="0.3">
      <c r="A17" s="1">
        <v>16</v>
      </c>
      <c r="B17" s="1" t="s">
        <v>55</v>
      </c>
      <c r="C17" s="1" t="s">
        <v>22</v>
      </c>
      <c r="G17" t="s">
        <v>45</v>
      </c>
    </row>
    <row r="18" spans="1:7" x14ac:dyDescent="0.3">
      <c r="A18" s="1">
        <v>17</v>
      </c>
      <c r="B18" s="1" t="s">
        <v>56</v>
      </c>
      <c r="C18" s="1" t="s">
        <v>22</v>
      </c>
      <c r="G18" t="s">
        <v>45</v>
      </c>
    </row>
    <row r="19" spans="1:7" x14ac:dyDescent="0.3">
      <c r="A19" s="1">
        <v>18</v>
      </c>
      <c r="B19" s="1" t="s">
        <v>57</v>
      </c>
      <c r="C19" s="1" t="s">
        <v>22</v>
      </c>
      <c r="G19" t="s">
        <v>45</v>
      </c>
    </row>
    <row r="20" spans="1:7" x14ac:dyDescent="0.3">
      <c r="A20" s="1">
        <v>19</v>
      </c>
      <c r="B20" s="1" t="s">
        <v>58</v>
      </c>
      <c r="C20" s="1" t="s">
        <v>22</v>
      </c>
      <c r="G20" t="s">
        <v>45</v>
      </c>
    </row>
    <row r="21" spans="1:7" x14ac:dyDescent="0.3">
      <c r="A21" s="1">
        <v>20</v>
      </c>
      <c r="B21" s="1" t="s">
        <v>59</v>
      </c>
      <c r="C21" s="1" t="s">
        <v>22</v>
      </c>
      <c r="G21" t="s">
        <v>45</v>
      </c>
    </row>
    <row r="22" spans="1:7" x14ac:dyDescent="0.3">
      <c r="A22" s="1">
        <v>21</v>
      </c>
      <c r="B22" s="1" t="s">
        <v>60</v>
      </c>
      <c r="C22" s="1" t="s">
        <v>22</v>
      </c>
      <c r="G22" t="s">
        <v>45</v>
      </c>
    </row>
    <row r="23" spans="1:7" x14ac:dyDescent="0.3">
      <c r="A23" s="1">
        <v>22</v>
      </c>
      <c r="B23" s="1" t="s">
        <v>61</v>
      </c>
      <c r="C23" s="1" t="s">
        <v>22</v>
      </c>
      <c r="G23" t="s">
        <v>45</v>
      </c>
    </row>
    <row r="24" spans="1:7" x14ac:dyDescent="0.3">
      <c r="A24" s="1">
        <v>23</v>
      </c>
      <c r="B24" s="1" t="s">
        <v>62</v>
      </c>
      <c r="C24" s="1" t="s">
        <v>22</v>
      </c>
      <c r="G24" t="s">
        <v>45</v>
      </c>
    </row>
    <row r="25" spans="1:7" x14ac:dyDescent="0.3">
      <c r="A25" s="1">
        <v>24</v>
      </c>
      <c r="B25" s="1" t="s">
        <v>63</v>
      </c>
      <c r="C25" s="1" t="s">
        <v>22</v>
      </c>
      <c r="G25" t="s">
        <v>45</v>
      </c>
    </row>
    <row r="26" spans="1:7" x14ac:dyDescent="0.3">
      <c r="G26" t="s">
        <v>45</v>
      </c>
    </row>
    <row r="27" spans="1:7" x14ac:dyDescent="0.3">
      <c r="A27" s="1">
        <v>25</v>
      </c>
      <c r="B27" s="1" t="s">
        <v>18</v>
      </c>
      <c r="C27" s="1" t="s">
        <v>22</v>
      </c>
      <c r="G27" t="s">
        <v>45</v>
      </c>
    </row>
    <row r="28" spans="1:7" x14ac:dyDescent="0.3">
      <c r="A28" s="1">
        <v>26</v>
      </c>
      <c r="B28" s="1" t="s">
        <v>18</v>
      </c>
      <c r="C28" s="1" t="s">
        <v>22</v>
      </c>
      <c r="G28" t="s">
        <v>45</v>
      </c>
    </row>
    <row r="29" spans="1:7" x14ac:dyDescent="0.3">
      <c r="A29" s="1">
        <v>27</v>
      </c>
      <c r="B29" s="1" t="s">
        <v>17</v>
      </c>
      <c r="C29" s="1" t="s">
        <v>22</v>
      </c>
      <c r="G29" t="s">
        <v>45</v>
      </c>
    </row>
    <row r="30" spans="1:7" x14ac:dyDescent="0.3">
      <c r="A30" s="1">
        <v>28</v>
      </c>
      <c r="B30" s="1" t="s">
        <v>19</v>
      </c>
      <c r="C30" s="1" t="s">
        <v>22</v>
      </c>
      <c r="G30" t="s">
        <v>45</v>
      </c>
    </row>
    <row r="41" spans="9:9" x14ac:dyDescent="0.3">
      <c r="I41" s="6"/>
    </row>
    <row r="141" spans="9:9" x14ac:dyDescent="0.3">
      <c r="I141" t="s">
        <v>14</v>
      </c>
    </row>
    <row r="142" spans="9:9" x14ac:dyDescent="0.3">
      <c r="I142" t="s">
        <v>45</v>
      </c>
    </row>
  </sheetData>
  <phoneticPr fontId="2" type="noConversion"/>
  <dataValidations count="1">
    <dataValidation type="list" allowBlank="1" showInputMessage="1" showErrorMessage="1" sqref="J7 G2:G30" xr:uid="{9A72BFF9-648B-45AC-A342-CE367807DD07}">
      <formula1>$I$141:$I$142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F9EB160-83B8-4D5C-9AE1-E6C547DCEE03}">
          <x14:formula1>
            <xm:f>Connectors!$A$1:$A$4</xm:f>
          </x14:formula1>
          <xm:sqref>B2:B30</xm:sqref>
        </x14:dataValidation>
        <x14:dataValidation type="list" allowBlank="1" showInputMessage="1" showErrorMessage="1" xr:uid="{84BC3105-4FF4-4F41-9433-F0848BE944B0}">
          <x14:formula1>
            <xm:f>Hosts!$A$1:$A$14</xm:f>
          </x14:formula1>
          <xm:sqref>C2:C30</xm:sqref>
        </x14:dataValidation>
        <x14:dataValidation type="list" allowBlank="1" showInputMessage="1" showErrorMessage="1" xr:uid="{95576F0C-9F53-4407-BE84-DC7787FF8843}">
          <x14:formula1>
            <xm:f>PortType!$A$1:$A$7</xm:f>
          </x14:formula1>
          <xm:sqref>D2:D30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FD31-963A-48CF-889F-3911C0C6447A}">
  <dimension ref="A1"/>
  <sheetViews>
    <sheetView workbookViewId="0">
      <selection activeCell="F43" sqref="F4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EE5C-45AB-48F2-875A-A6375AF5E3FF}">
  <dimension ref="A1:A7"/>
  <sheetViews>
    <sheetView workbookViewId="0">
      <selection activeCell="A7" sqref="A7"/>
    </sheetView>
  </sheetViews>
  <sheetFormatPr defaultRowHeight="14.4" x14ac:dyDescent="0.3"/>
  <cols>
    <col min="1" max="1" width="23.21875" customWidth="1"/>
  </cols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C9CD-840E-4C13-8C3E-2771C99E46FC}">
  <dimension ref="A1:A13"/>
  <sheetViews>
    <sheetView workbookViewId="0">
      <selection activeCell="B58" sqref="B58"/>
    </sheetView>
  </sheetViews>
  <sheetFormatPr defaultRowHeight="14.4" x14ac:dyDescent="0.3"/>
  <cols>
    <col min="1" max="1" width="16.21875" customWidth="1"/>
  </cols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  <row r="12" spans="1:1" x14ac:dyDescent="0.3">
      <c r="A12" t="s">
        <v>33</v>
      </c>
    </row>
    <row r="13" spans="1:1" x14ac:dyDescent="0.3">
      <c r="A13" t="s">
        <v>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C1C2-2460-45C8-864A-8E38B8052841}">
  <dimension ref="A1:A4"/>
  <sheetViews>
    <sheetView workbookViewId="0">
      <selection activeCell="A3" sqref="A3"/>
    </sheetView>
  </sheetViews>
  <sheetFormatPr defaultRowHeight="14.4" x14ac:dyDescent="0.3"/>
  <cols>
    <col min="1" max="1" width="21.44140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20</v>
      </c>
    </row>
    <row r="4" spans="1:1" x14ac:dyDescent="0.3">
      <c r="A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61</vt:lpstr>
      <vt:lpstr>62</vt:lpstr>
      <vt:lpstr>PortType</vt:lpstr>
      <vt:lpstr>Hosts</vt:lpstr>
      <vt:lpstr>Connectors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Ayobami Pase</dc:creator>
  <cp:lastModifiedBy>Ayobami Pase</cp:lastModifiedBy>
  <dcterms:created xsi:type="dcterms:W3CDTF">2026-02-07T20:01:19Z</dcterms:created>
  <dcterms:modified xsi:type="dcterms:W3CDTF">2026-02-08T00:59:35Z</dcterms:modified>
</cp:coreProperties>
</file>