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se\Desktop\"/>
    </mc:Choice>
  </mc:AlternateContent>
  <xr:revisionPtr revIDLastSave="0" documentId="13_ncr:1_{B997A2E5-E9B3-4730-8312-D40ECFAA9AC5}" xr6:coauthVersionLast="47" xr6:coauthVersionMax="47" xr10:uidLastSave="{00000000-0000-0000-0000-000000000000}"/>
  <bookViews>
    <workbookView xWindow="28680" yWindow="-120" windowWidth="51840" windowHeight="21120" activeTab="2" xr2:uid="{A9862219-2A11-094C-B1C8-7FA6D881B074}"/>
  </bookViews>
  <sheets>
    <sheet name="Summary" sheetId="1" r:id="rId1"/>
    <sheet name="FD1A" sheetId="2" r:id="rId2"/>
    <sheet name="BD1" sheetId="4" r:id="rId3"/>
    <sheet name="CD" sheetId="5" r:id="rId4"/>
  </sheets>
  <externalReferences>
    <externalReference r:id="rId5"/>
  </externalReferences>
  <definedNames>
    <definedName name="switch_1000mbs">FD1A!$L$1</definedName>
    <definedName name="switch_100mbs">FD1A!$K$1</definedName>
    <definedName name="switch_10mbs">FD1A!$J$1</definedName>
    <definedName name="TotalCAT6">FD1A!$H$28</definedName>
    <definedName name="TotalCAT6Length">FD1A!$H$1</definedName>
    <definedName name="TotcalCAT6">FD1A!$H$28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5" l="1"/>
  <c r="G4" i="5"/>
  <c r="G3" i="5"/>
  <c r="H1" i="5"/>
  <c r="H1" i="4"/>
  <c r="G4" i="4"/>
  <c r="G3" i="4"/>
  <c r="R28" i="2"/>
  <c r="R29" i="2" s="1"/>
  <c r="C1" i="2"/>
  <c r="R16" i="2"/>
  <c r="R17" i="2" s="1"/>
  <c r="R18" i="2" s="1"/>
  <c r="M1" i="2"/>
  <c r="J1" i="2"/>
  <c r="R20" i="2" s="1"/>
  <c r="K1" i="2"/>
  <c r="R21" i="2" s="1"/>
  <c r="L1" i="2"/>
  <c r="R22" i="2" s="1"/>
  <c r="R9" i="2"/>
  <c r="R10" i="2" s="1"/>
  <c r="H1" i="2"/>
  <c r="R4" i="2" s="1"/>
  <c r="R6" i="2" s="1"/>
  <c r="D4" i="2"/>
  <c r="B8" i="1"/>
  <c r="B6" i="1"/>
  <c r="B7" i="1" s="1"/>
  <c r="R23" i="2" l="1"/>
  <c r="R25" i="2" s="1"/>
  <c r="R30" i="2" s="1"/>
  <c r="R11" i="2"/>
</calcChain>
</file>

<file path=xl/sharedStrings.xml><?xml version="1.0" encoding="utf-8"?>
<sst xmlns="http://schemas.openxmlformats.org/spreadsheetml/2006/main" count="206" uniqueCount="114">
  <si>
    <t>Forecourt</t>
  </si>
  <si>
    <t>Buildings</t>
  </si>
  <si>
    <t>Floors</t>
  </si>
  <si>
    <t>Total Cable Length (m)</t>
  </si>
  <si>
    <t>Cat6A Boxes (305m)</t>
  </si>
  <si>
    <t>Total Cable Runs</t>
  </si>
  <si>
    <t>Building</t>
  </si>
  <si>
    <t>Floor</t>
  </si>
  <si>
    <t>Index</t>
  </si>
  <si>
    <t>Label</t>
  </si>
  <si>
    <t>Location</t>
  </si>
  <si>
    <t>Symbol</t>
  </si>
  <si>
    <t>Function</t>
  </si>
  <si>
    <t>Length</t>
  </si>
  <si>
    <t>G</t>
  </si>
  <si>
    <t>001</t>
  </si>
  <si>
    <t>Counter</t>
  </si>
  <si>
    <t>X</t>
  </si>
  <si>
    <t>POS Terminal</t>
  </si>
  <si>
    <t>002</t>
  </si>
  <si>
    <t>1A002</t>
  </si>
  <si>
    <t>Card Machine</t>
  </si>
  <si>
    <t>003</t>
  </si>
  <si>
    <t>1A003</t>
  </si>
  <si>
    <t>004</t>
  </si>
  <si>
    <t>1A004</t>
  </si>
  <si>
    <t>005</t>
  </si>
  <si>
    <t>1A005</t>
  </si>
  <si>
    <t>006</t>
  </si>
  <si>
    <t>1A006</t>
  </si>
  <si>
    <t>007</t>
  </si>
  <si>
    <t>1A007</t>
  </si>
  <si>
    <t>Ceiling</t>
  </si>
  <si>
    <t>Y</t>
  </si>
  <si>
    <t>Access Point</t>
  </si>
  <si>
    <t>008</t>
  </si>
  <si>
    <t>1A008</t>
  </si>
  <si>
    <t>VAT Rate</t>
  </si>
  <si>
    <t>009</t>
  </si>
  <si>
    <t>1A009</t>
  </si>
  <si>
    <t>010</t>
  </si>
  <si>
    <t>1A010</t>
  </si>
  <si>
    <t>015</t>
  </si>
  <si>
    <t>1A015</t>
  </si>
  <si>
    <t>W</t>
  </si>
  <si>
    <t>CCTV Camera</t>
  </si>
  <si>
    <t>016</t>
  </si>
  <si>
    <t>1A016</t>
  </si>
  <si>
    <t>017</t>
  </si>
  <si>
    <t>1A017</t>
  </si>
  <si>
    <t>018</t>
  </si>
  <si>
    <t>1A018</t>
  </si>
  <si>
    <t>019</t>
  </si>
  <si>
    <t>1A019</t>
  </si>
  <si>
    <t>Office</t>
  </si>
  <si>
    <t>O</t>
  </si>
  <si>
    <t>Computer</t>
  </si>
  <si>
    <t>020</t>
  </si>
  <si>
    <t>1A020</t>
  </si>
  <si>
    <t>IP Phone</t>
  </si>
  <si>
    <t>Supermarket</t>
  </si>
  <si>
    <t>A</t>
  </si>
  <si>
    <t>B</t>
  </si>
  <si>
    <t>Back Hall</t>
  </si>
  <si>
    <t>F</t>
  </si>
  <si>
    <t>Fire Alarm</t>
  </si>
  <si>
    <t>Burgler Alarm</t>
  </si>
  <si>
    <t>021</t>
  </si>
  <si>
    <t>022</t>
  </si>
  <si>
    <t>023</t>
  </si>
  <si>
    <t>024</t>
  </si>
  <si>
    <t>025</t>
  </si>
  <si>
    <t>026</t>
  </si>
  <si>
    <t>1A021</t>
  </si>
  <si>
    <t>1A022</t>
  </si>
  <si>
    <t>1A023</t>
  </si>
  <si>
    <t>1A024</t>
  </si>
  <si>
    <t>1A025</t>
  </si>
  <si>
    <t>1A026</t>
  </si>
  <si>
    <t xml:space="preserve"> </t>
  </si>
  <si>
    <t>Total CAT6</t>
  </si>
  <si>
    <t>Box</t>
  </si>
  <si>
    <t>No of Boxes</t>
  </si>
  <si>
    <t>Net per box</t>
  </si>
  <si>
    <t>VAT amount</t>
  </si>
  <si>
    <t xml:space="preserve">Gross </t>
  </si>
  <si>
    <t>Total CAT6 cost</t>
  </si>
  <si>
    <t>Switch</t>
  </si>
  <si>
    <t>POTS</t>
  </si>
  <si>
    <t>Total TO</t>
  </si>
  <si>
    <t>Net per TO</t>
  </si>
  <si>
    <t>TotalTO Cost</t>
  </si>
  <si>
    <t>1Gb/s</t>
  </si>
  <si>
    <t>100Mb/s</t>
  </si>
  <si>
    <t xml:space="preserve">10Mb/s </t>
  </si>
  <si>
    <t xml:space="preserve">Total </t>
  </si>
  <si>
    <t>Ports per switch</t>
  </si>
  <si>
    <t>Switches required</t>
  </si>
  <si>
    <t>Net per switch</t>
  </si>
  <si>
    <t>Totalswitch Cost</t>
  </si>
  <si>
    <t>From</t>
  </si>
  <si>
    <t>To</t>
  </si>
  <si>
    <t>Cable Number</t>
  </si>
  <si>
    <t>Type</t>
  </si>
  <si>
    <t>MMF</t>
  </si>
  <si>
    <t>1B</t>
  </si>
  <si>
    <t>1A</t>
  </si>
  <si>
    <t>Cores</t>
  </si>
  <si>
    <t>Pairs</t>
  </si>
  <si>
    <t>Cable</t>
  </si>
  <si>
    <t>Length MMF</t>
  </si>
  <si>
    <t>Length BC</t>
  </si>
  <si>
    <t xml:space="preserve">  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</si>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</sst>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1809]#,##0.00"/>
    <numFmt numFmtId="165" formatCode="0.0%"/>
    <numFmt numFmtId="166" formatCode="[$€-1809]#,##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se/Downloads/wirelist%20temporar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1A"/>
      <sheetName val="Summar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3D49-8266-C94D-8E38-61D6F28E5396}">
  <dimension ref="A1:C8"/>
  <sheetViews>
    <sheetView workbookViewId="0">
      <selection activeCell="B4" sqref="B4"/>
    </sheetView>
  </sheetViews>
  <sheetFormatPr defaultColWidth="11.19921875" defaultRowHeight="15.6" x14ac:dyDescent="0.3"/>
  <cols>
    <col min="1" max="1" width="31.5" customWidth="1"/>
    <col min="2" max="2" width="22.796875" style="3" customWidth="1"/>
    <col min="3" max="3" width="11.19921875" style="3"/>
  </cols>
  <sheetData>
    <row r="1" spans="1:3" s="1" customFormat="1" ht="69.599999999999994" x14ac:dyDescent="0.3">
      <c r="B1" s="2" t="s">
        <v>0</v>
      </c>
      <c r="C1" s="2" t="s">
        <v>60</v>
      </c>
    </row>
    <row r="2" spans="1:3" x14ac:dyDescent="0.3">
      <c r="A2" t="s">
        <v>1</v>
      </c>
      <c r="B2" s="3">
        <v>1</v>
      </c>
      <c r="C2" s="3">
        <v>2</v>
      </c>
    </row>
    <row r="3" spans="1:3" x14ac:dyDescent="0.3">
      <c r="A3" t="s">
        <v>2</v>
      </c>
      <c r="B3" s="3" t="s">
        <v>61</v>
      </c>
      <c r="C3" s="3" t="s">
        <v>61</v>
      </c>
    </row>
    <row r="4" spans="1:3" x14ac:dyDescent="0.3">
      <c r="B4" s="3" t="s">
        <v>62</v>
      </c>
    </row>
    <row r="6" spans="1:3" x14ac:dyDescent="0.3">
      <c r="A6" t="s">
        <v>3</v>
      </c>
      <c r="B6" s="3">
        <f>[1]FD1A!H23</f>
        <v>1050</v>
      </c>
    </row>
    <row r="7" spans="1:3" x14ac:dyDescent="0.3">
      <c r="A7" t="s">
        <v>4</v>
      </c>
      <c r="B7" s="3">
        <f>ROUNDUP(B6/305,0)</f>
        <v>4</v>
      </c>
    </row>
    <row r="8" spans="1:3" x14ac:dyDescent="0.3">
      <c r="A8" t="s">
        <v>5</v>
      </c>
      <c r="B8" s="3">
        <f>COUNTA([1]FD1A!C2:C21)</f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EB31-0F40-1348-AB51-C64CA47BD8F5}">
  <dimension ref="A1:R30"/>
  <sheetViews>
    <sheetView workbookViewId="0">
      <selection activeCell="L14" sqref="L14"/>
    </sheetView>
  </sheetViews>
  <sheetFormatPr defaultColWidth="11.19921875" defaultRowHeight="15.6" x14ac:dyDescent="0.3"/>
  <cols>
    <col min="1" max="6" width="11.19921875" style="3"/>
    <col min="7" max="7" width="50.796875" style="3" customWidth="1"/>
    <col min="8" max="16" width="11.19921875" style="3"/>
    <col min="17" max="17" width="49.5" style="3" customWidth="1"/>
    <col min="18" max="18" width="11.19921875" style="3"/>
  </cols>
  <sheetData>
    <row r="1" spans="1:18" x14ac:dyDescent="0.3">
      <c r="C1" s="3">
        <f>SUM(C4:C25)</f>
        <v>0</v>
      </c>
      <c r="H1" s="3">
        <f>SUM(H4:H25)</f>
        <v>1090</v>
      </c>
      <c r="J1" s="3">
        <f>SUM(J4:J25)</f>
        <v>7</v>
      </c>
      <c r="K1" s="3">
        <f>SUM(K4:K25)</f>
        <v>9</v>
      </c>
      <c r="L1" s="3">
        <f>SUM(L4:L25)</f>
        <v>7</v>
      </c>
      <c r="M1" s="3">
        <f>SUM(M4:M25)</f>
        <v>3</v>
      </c>
    </row>
    <row r="2" spans="1:18" x14ac:dyDescent="0.3">
      <c r="K2" s="13" t="s">
        <v>87</v>
      </c>
      <c r="L2" s="13"/>
      <c r="M2" s="13"/>
    </row>
    <row r="3" spans="1:18" s="1" customFormat="1" ht="49.2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/>
      <c r="J3" s="2">
        <v>10</v>
      </c>
      <c r="K3" s="2">
        <v>100</v>
      </c>
      <c r="L3" s="2">
        <v>1000</v>
      </c>
      <c r="M3" s="2" t="s">
        <v>88</v>
      </c>
      <c r="N3" s="2"/>
      <c r="O3" s="2"/>
      <c r="P3" s="2"/>
      <c r="Q3" s="2"/>
      <c r="R3" s="2"/>
    </row>
    <row r="4" spans="1:18" x14ac:dyDescent="0.3">
      <c r="A4" s="3">
        <v>1</v>
      </c>
      <c r="B4" s="3" t="s">
        <v>61</v>
      </c>
      <c r="C4" s="3" t="s">
        <v>15</v>
      </c>
      <c r="D4" s="3" t="str">
        <f>A4 &amp; B4 &amp; C4</f>
        <v>1A001</v>
      </c>
      <c r="E4" s="3" t="s">
        <v>16</v>
      </c>
      <c r="F4" s="3" t="s">
        <v>17</v>
      </c>
      <c r="G4" s="3" t="s">
        <v>18</v>
      </c>
      <c r="H4" s="3">
        <v>40</v>
      </c>
      <c r="K4" s="3">
        <v>1</v>
      </c>
      <c r="Q4" s="4" t="s">
        <v>80</v>
      </c>
      <c r="R4" s="5">
        <f>TotalCAT6Length</f>
        <v>1090</v>
      </c>
    </row>
    <row r="5" spans="1:18" x14ac:dyDescent="0.3">
      <c r="A5" s="3">
        <v>1</v>
      </c>
      <c r="B5" s="3" t="s">
        <v>61</v>
      </c>
      <c r="C5" s="3" t="s">
        <v>19</v>
      </c>
      <c r="D5" s="3" t="s">
        <v>20</v>
      </c>
      <c r="E5" s="3" t="s">
        <v>16</v>
      </c>
      <c r="F5" s="3" t="s">
        <v>17</v>
      </c>
      <c r="G5" s="3" t="s">
        <v>21</v>
      </c>
      <c r="H5" s="3">
        <v>40</v>
      </c>
      <c r="J5" s="3">
        <v>1</v>
      </c>
      <c r="Q5" s="6" t="s">
        <v>81</v>
      </c>
      <c r="R5" s="7">
        <v>300</v>
      </c>
    </row>
    <row r="6" spans="1:18" x14ac:dyDescent="0.3">
      <c r="A6" s="3">
        <v>1</v>
      </c>
      <c r="B6" s="3" t="s">
        <v>61</v>
      </c>
      <c r="C6" s="3" t="s">
        <v>22</v>
      </c>
      <c r="D6" s="3" t="s">
        <v>23</v>
      </c>
      <c r="E6" s="3" t="s">
        <v>16</v>
      </c>
      <c r="F6" s="3" t="s">
        <v>17</v>
      </c>
      <c r="G6" s="3" t="s">
        <v>18</v>
      </c>
      <c r="H6" s="3">
        <v>40</v>
      </c>
      <c r="K6" s="3">
        <v>1</v>
      </c>
      <c r="Q6" s="6" t="s">
        <v>82</v>
      </c>
      <c r="R6" s="7">
        <f>ROUNDUP(R4/R5, 0)</f>
        <v>4</v>
      </c>
    </row>
    <row r="7" spans="1:18" x14ac:dyDescent="0.3">
      <c r="A7" s="3">
        <v>1</v>
      </c>
      <c r="B7" s="3" t="s">
        <v>61</v>
      </c>
      <c r="C7" s="3" t="s">
        <v>24</v>
      </c>
      <c r="D7" s="3" t="s">
        <v>25</v>
      </c>
      <c r="E7" s="3" t="s">
        <v>16</v>
      </c>
      <c r="F7" s="3" t="s">
        <v>17</v>
      </c>
      <c r="G7" s="3" t="s">
        <v>21</v>
      </c>
      <c r="H7" s="3">
        <v>40</v>
      </c>
      <c r="J7" s="3">
        <v>1</v>
      </c>
      <c r="Q7" s="6" t="s">
        <v>83</v>
      </c>
      <c r="R7" s="8">
        <v>48</v>
      </c>
    </row>
    <row r="8" spans="1:18" x14ac:dyDescent="0.3">
      <c r="A8" s="3">
        <v>1</v>
      </c>
      <c r="B8" s="3" t="s">
        <v>61</v>
      </c>
      <c r="C8" s="3" t="s">
        <v>26</v>
      </c>
      <c r="D8" s="3" t="s">
        <v>27</v>
      </c>
      <c r="E8" s="3" t="s">
        <v>16</v>
      </c>
      <c r="F8" s="3" t="s">
        <v>17</v>
      </c>
      <c r="G8" s="3" t="s">
        <v>18</v>
      </c>
      <c r="H8" s="3">
        <v>40</v>
      </c>
      <c r="K8" s="3">
        <v>1</v>
      </c>
      <c r="Q8" s="6" t="s">
        <v>37</v>
      </c>
      <c r="R8" s="9">
        <v>0.23</v>
      </c>
    </row>
    <row r="9" spans="1:18" x14ac:dyDescent="0.3">
      <c r="A9" s="3">
        <v>1</v>
      </c>
      <c r="B9" s="3" t="s">
        <v>61</v>
      </c>
      <c r="C9" s="3" t="s">
        <v>28</v>
      </c>
      <c r="D9" s="3" t="s">
        <v>29</v>
      </c>
      <c r="E9" s="3" t="s">
        <v>16</v>
      </c>
      <c r="F9" s="3" t="s">
        <v>17</v>
      </c>
      <c r="G9" s="3" t="s">
        <v>21</v>
      </c>
      <c r="H9" s="3">
        <v>40</v>
      </c>
      <c r="J9" s="3">
        <v>1</v>
      </c>
      <c r="Q9" s="6" t="s">
        <v>84</v>
      </c>
      <c r="R9" s="8">
        <f>R7 * R8</f>
        <v>11.040000000000001</v>
      </c>
    </row>
    <row r="10" spans="1:18" x14ac:dyDescent="0.3">
      <c r="A10" s="3">
        <v>1</v>
      </c>
      <c r="B10" s="3" t="s">
        <v>61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>
        <v>60</v>
      </c>
      <c r="K10" s="3">
        <v>1</v>
      </c>
      <c r="Q10" s="6" t="s">
        <v>85</v>
      </c>
      <c r="R10" s="8">
        <f xml:space="preserve"> R7 + R9</f>
        <v>59.04</v>
      </c>
    </row>
    <row r="11" spans="1:18" x14ac:dyDescent="0.3">
      <c r="A11" s="3">
        <v>1</v>
      </c>
      <c r="B11" s="3" t="s">
        <v>61</v>
      </c>
      <c r="C11" s="3" t="s">
        <v>35</v>
      </c>
      <c r="D11" s="3" t="s">
        <v>36</v>
      </c>
      <c r="E11" s="3" t="s">
        <v>32</v>
      </c>
      <c r="F11" s="3" t="s">
        <v>33</v>
      </c>
      <c r="G11" s="3" t="s">
        <v>34</v>
      </c>
      <c r="H11" s="3">
        <v>60</v>
      </c>
      <c r="J11" s="3">
        <v>1</v>
      </c>
      <c r="Q11" s="10" t="s">
        <v>86</v>
      </c>
      <c r="R11" s="11">
        <f xml:space="preserve"> R10 * R6</f>
        <v>236.16</v>
      </c>
    </row>
    <row r="12" spans="1:18" x14ac:dyDescent="0.3">
      <c r="A12" s="3">
        <v>1</v>
      </c>
      <c r="B12" s="3" t="s">
        <v>61</v>
      </c>
      <c r="C12" s="3" t="s">
        <v>38</v>
      </c>
      <c r="D12" s="3" t="s">
        <v>39</v>
      </c>
      <c r="E12" s="3" t="s">
        <v>32</v>
      </c>
      <c r="F12" s="3" t="s">
        <v>33</v>
      </c>
      <c r="G12" s="3" t="s">
        <v>34</v>
      </c>
      <c r="H12" s="3">
        <v>60</v>
      </c>
      <c r="K12" s="3">
        <v>1</v>
      </c>
    </row>
    <row r="13" spans="1:18" x14ac:dyDescent="0.3">
      <c r="A13" s="3">
        <v>1</v>
      </c>
      <c r="B13" s="3" t="s">
        <v>61</v>
      </c>
      <c r="C13" s="3" t="s">
        <v>40</v>
      </c>
      <c r="D13" s="3" t="s">
        <v>41</v>
      </c>
      <c r="E13" s="3" t="s">
        <v>32</v>
      </c>
      <c r="F13" s="3" t="s">
        <v>33</v>
      </c>
      <c r="G13" s="3" t="s">
        <v>34</v>
      </c>
      <c r="H13" s="3">
        <v>60</v>
      </c>
      <c r="K13" s="3">
        <v>1</v>
      </c>
      <c r="Q13" s="4" t="s">
        <v>89</v>
      </c>
      <c r="R13" s="5">
        <v>26</v>
      </c>
    </row>
    <row r="14" spans="1:18" x14ac:dyDescent="0.3">
      <c r="A14" s="3">
        <v>1</v>
      </c>
      <c r="B14" s="3" t="s">
        <v>61</v>
      </c>
      <c r="C14" s="3" t="s">
        <v>42</v>
      </c>
      <c r="D14" s="3" t="s">
        <v>43</v>
      </c>
      <c r="E14" s="3" t="s">
        <v>32</v>
      </c>
      <c r="F14" s="3" t="s">
        <v>44</v>
      </c>
      <c r="G14" s="3" t="s">
        <v>45</v>
      </c>
      <c r="H14" s="3">
        <v>60</v>
      </c>
      <c r="K14" s="3">
        <v>1</v>
      </c>
      <c r="Q14" s="6" t="s">
        <v>90</v>
      </c>
      <c r="R14" s="8">
        <v>100</v>
      </c>
    </row>
    <row r="15" spans="1:18" x14ac:dyDescent="0.3">
      <c r="A15" s="3">
        <v>1</v>
      </c>
      <c r="B15" s="3" t="s">
        <v>61</v>
      </c>
      <c r="C15" s="3" t="s">
        <v>46</v>
      </c>
      <c r="D15" s="3" t="s">
        <v>47</v>
      </c>
      <c r="E15" s="3" t="s">
        <v>63</v>
      </c>
      <c r="F15" s="3" t="s">
        <v>64</v>
      </c>
      <c r="G15" s="3" t="s">
        <v>65</v>
      </c>
      <c r="H15" s="3">
        <v>20</v>
      </c>
      <c r="L15" s="3">
        <v>1</v>
      </c>
      <c r="M15" s="3">
        <v>1</v>
      </c>
      <c r="Q15" s="6" t="s">
        <v>37</v>
      </c>
      <c r="R15" s="9">
        <v>0.23</v>
      </c>
    </row>
    <row r="16" spans="1:18" x14ac:dyDescent="0.3">
      <c r="A16" s="3">
        <v>1</v>
      </c>
      <c r="B16" s="3" t="s">
        <v>61</v>
      </c>
      <c r="C16" s="3" t="s">
        <v>48</v>
      </c>
      <c r="D16" s="3" t="s">
        <v>49</v>
      </c>
      <c r="E16" s="3" t="s">
        <v>63</v>
      </c>
      <c r="F16" s="3" t="s">
        <v>62</v>
      </c>
      <c r="G16" s="3" t="s">
        <v>66</v>
      </c>
      <c r="H16" s="3">
        <v>20</v>
      </c>
      <c r="L16" s="3">
        <v>1</v>
      </c>
      <c r="M16" s="3">
        <v>1</v>
      </c>
      <c r="Q16" s="6" t="s">
        <v>84</v>
      </c>
      <c r="R16" s="8">
        <f>R14 * R15</f>
        <v>23</v>
      </c>
    </row>
    <row r="17" spans="1:18" x14ac:dyDescent="0.3">
      <c r="A17" s="3">
        <v>1</v>
      </c>
      <c r="B17" s="3" t="s">
        <v>14</v>
      </c>
      <c r="C17" s="3" t="s">
        <v>50</v>
      </c>
      <c r="D17" s="3" t="s">
        <v>51</v>
      </c>
      <c r="E17" s="3" t="s">
        <v>32</v>
      </c>
      <c r="F17" s="3" t="s">
        <v>33</v>
      </c>
      <c r="G17" s="3" t="s">
        <v>34</v>
      </c>
      <c r="H17" s="3">
        <v>60</v>
      </c>
      <c r="L17" s="3">
        <v>1</v>
      </c>
      <c r="Q17" s="6" t="s">
        <v>85</v>
      </c>
      <c r="R17" s="8">
        <f xml:space="preserve"> R14 + R16</f>
        <v>123</v>
      </c>
    </row>
    <row r="18" spans="1:18" x14ac:dyDescent="0.3">
      <c r="A18" s="3">
        <v>1</v>
      </c>
      <c r="B18" s="3" t="s">
        <v>14</v>
      </c>
      <c r="C18" s="3" t="s">
        <v>52</v>
      </c>
      <c r="D18" s="3" t="s">
        <v>53</v>
      </c>
      <c r="E18" s="3" t="s">
        <v>32</v>
      </c>
      <c r="F18" s="3" t="s">
        <v>33</v>
      </c>
      <c r="G18" s="3" t="s">
        <v>34</v>
      </c>
      <c r="H18" s="3">
        <v>60</v>
      </c>
      <c r="L18" s="3">
        <v>1</v>
      </c>
      <c r="Q18" s="10" t="s">
        <v>91</v>
      </c>
      <c r="R18" s="12">
        <f xml:space="preserve"> R17 * R13</f>
        <v>3198</v>
      </c>
    </row>
    <row r="19" spans="1:18" x14ac:dyDescent="0.3">
      <c r="A19" s="3">
        <v>1</v>
      </c>
      <c r="B19" s="3" t="s">
        <v>14</v>
      </c>
      <c r="C19" s="3" t="s">
        <v>57</v>
      </c>
      <c r="D19" s="3" t="s">
        <v>58</v>
      </c>
      <c r="E19" s="3" t="s">
        <v>32</v>
      </c>
      <c r="F19" s="3" t="s">
        <v>33</v>
      </c>
      <c r="G19" s="3" t="s">
        <v>34</v>
      </c>
      <c r="H19" s="3">
        <v>60</v>
      </c>
      <c r="L19" s="3">
        <v>1</v>
      </c>
    </row>
    <row r="20" spans="1:18" x14ac:dyDescent="0.3">
      <c r="A20" s="3">
        <v>1</v>
      </c>
      <c r="B20" s="3" t="s">
        <v>14</v>
      </c>
      <c r="C20" s="3" t="s">
        <v>67</v>
      </c>
      <c r="D20" s="3" t="s">
        <v>73</v>
      </c>
      <c r="E20" s="3" t="s">
        <v>32</v>
      </c>
      <c r="F20" s="3" t="s">
        <v>33</v>
      </c>
      <c r="G20" s="3" t="s">
        <v>34</v>
      </c>
      <c r="H20" s="3">
        <v>60</v>
      </c>
      <c r="L20" s="3">
        <v>1</v>
      </c>
      <c r="Q20" s="4" t="s">
        <v>94</v>
      </c>
      <c r="R20" s="5">
        <f>switch_10mbs</f>
        <v>7</v>
      </c>
    </row>
    <row r="21" spans="1:18" x14ac:dyDescent="0.3">
      <c r="A21" s="3">
        <v>1</v>
      </c>
      <c r="B21" s="3" t="s">
        <v>14</v>
      </c>
      <c r="C21" s="3" t="s">
        <v>68</v>
      </c>
      <c r="D21" s="3" t="s">
        <v>74</v>
      </c>
      <c r="E21" s="3" t="s">
        <v>32</v>
      </c>
      <c r="F21" s="3" t="s">
        <v>44</v>
      </c>
      <c r="G21" s="3" t="s">
        <v>45</v>
      </c>
      <c r="H21" s="3">
        <v>60</v>
      </c>
      <c r="J21" s="3">
        <v>1</v>
      </c>
      <c r="Q21" s="6" t="s">
        <v>93</v>
      </c>
      <c r="R21" s="7">
        <f>switch_100mbs</f>
        <v>9</v>
      </c>
    </row>
    <row r="22" spans="1:18" x14ac:dyDescent="0.3">
      <c r="A22" s="3">
        <v>1</v>
      </c>
      <c r="B22" s="3" t="s">
        <v>14</v>
      </c>
      <c r="C22" s="3" t="s">
        <v>69</v>
      </c>
      <c r="D22" s="3" t="s">
        <v>75</v>
      </c>
      <c r="E22" s="3" t="s">
        <v>32</v>
      </c>
      <c r="F22" s="3" t="s">
        <v>44</v>
      </c>
      <c r="G22" s="3" t="s">
        <v>45</v>
      </c>
      <c r="H22" s="3">
        <v>60</v>
      </c>
      <c r="K22" s="3">
        <v>1</v>
      </c>
      <c r="Q22" s="6" t="s">
        <v>92</v>
      </c>
      <c r="R22" s="7">
        <f>switch_1000mbs</f>
        <v>7</v>
      </c>
    </row>
    <row r="23" spans="1:18" x14ac:dyDescent="0.3">
      <c r="A23" s="3">
        <v>1</v>
      </c>
      <c r="B23" s="3" t="s">
        <v>14</v>
      </c>
      <c r="C23" s="3" t="s">
        <v>70</v>
      </c>
      <c r="D23" s="3" t="s">
        <v>76</v>
      </c>
      <c r="E23" s="3" t="s">
        <v>32</v>
      </c>
      <c r="F23" s="3" t="s">
        <v>44</v>
      </c>
      <c r="G23" s="3" t="s">
        <v>45</v>
      </c>
      <c r="H23" s="3">
        <v>60</v>
      </c>
      <c r="J23" s="3">
        <v>1</v>
      </c>
      <c r="L23" s="3">
        <v>1</v>
      </c>
      <c r="Q23" s="6" t="s">
        <v>95</v>
      </c>
      <c r="R23" s="7">
        <f>SUM(R20:R22)</f>
        <v>23</v>
      </c>
    </row>
    <row r="24" spans="1:18" x14ac:dyDescent="0.3">
      <c r="A24" s="3">
        <v>1</v>
      </c>
      <c r="B24" s="3" t="s">
        <v>14</v>
      </c>
      <c r="C24" s="3" t="s">
        <v>71</v>
      </c>
      <c r="D24" s="3" t="s">
        <v>77</v>
      </c>
      <c r="E24" s="3" t="s">
        <v>54</v>
      </c>
      <c r="F24" s="3" t="s">
        <v>55</v>
      </c>
      <c r="G24" s="3" t="s">
        <v>56</v>
      </c>
      <c r="H24" s="3">
        <v>45</v>
      </c>
      <c r="K24" s="3">
        <v>1</v>
      </c>
      <c r="Q24" s="6" t="s">
        <v>96</v>
      </c>
      <c r="R24" s="7">
        <v>24</v>
      </c>
    </row>
    <row r="25" spans="1:18" x14ac:dyDescent="0.3">
      <c r="A25" s="3">
        <v>1</v>
      </c>
      <c r="B25" s="3" t="s">
        <v>14</v>
      </c>
      <c r="C25" s="3" t="s">
        <v>72</v>
      </c>
      <c r="D25" s="3" t="s">
        <v>78</v>
      </c>
      <c r="E25" s="3" t="s">
        <v>54</v>
      </c>
      <c r="F25" s="3" t="s">
        <v>55</v>
      </c>
      <c r="G25" s="3" t="s">
        <v>59</v>
      </c>
      <c r="H25" s="3">
        <v>45</v>
      </c>
      <c r="J25" s="3">
        <v>1</v>
      </c>
      <c r="M25" s="3">
        <v>1</v>
      </c>
      <c r="Q25" s="6" t="s">
        <v>97</v>
      </c>
      <c r="R25" s="7">
        <f>ROUNDUP( R23/R24,0)</f>
        <v>1</v>
      </c>
    </row>
    <row r="26" spans="1:18" x14ac:dyDescent="0.3">
      <c r="H26" s="3" t="s">
        <v>79</v>
      </c>
      <c r="Q26" s="6" t="s">
        <v>98</v>
      </c>
      <c r="R26" s="8">
        <v>5000</v>
      </c>
    </row>
    <row r="27" spans="1:18" x14ac:dyDescent="0.3">
      <c r="Q27" s="6" t="s">
        <v>37</v>
      </c>
      <c r="R27" s="9">
        <v>0.23</v>
      </c>
    </row>
    <row r="28" spans="1:18" x14ac:dyDescent="0.3">
      <c r="G28" s="3" t="s">
        <v>3</v>
      </c>
      <c r="Q28" s="6" t="s">
        <v>84</v>
      </c>
      <c r="R28" s="8">
        <f>R26 * R27</f>
        <v>1150</v>
      </c>
    </row>
    <row r="29" spans="1:18" x14ac:dyDescent="0.3">
      <c r="Q29" s="6" t="s">
        <v>85</v>
      </c>
      <c r="R29" s="8">
        <f xml:space="preserve"> R26 + R28</f>
        <v>6150</v>
      </c>
    </row>
    <row r="30" spans="1:18" x14ac:dyDescent="0.3">
      <c r="Q30" s="10" t="s">
        <v>99</v>
      </c>
      <c r="R30" s="12">
        <f xml:space="preserve"> R29 * R25</f>
        <v>6150</v>
      </c>
    </row>
  </sheetData>
  <mergeCells count="1">
    <mergeCell ref="K2:M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5419-5F8B-4AB2-A9E1-4BA3CB023A65}">
  <dimension ref="A1:H34"/>
  <sheetViews>
    <sheetView tabSelected="1" topLeftCell="A2" workbookViewId="0">
      <selection activeCell="J23" sqref="J23"/>
    </sheetView>
  </sheetViews>
  <sheetFormatPr defaultRowHeight="15.6" x14ac:dyDescent="0.3"/>
  <cols>
    <col min="3" max="3" width="18.796875" customWidth="1"/>
    <col min="7" max="7" width="18.3984375" style="3" customWidth="1"/>
    <col min="8" max="8" width="8.796875" style="3"/>
  </cols>
  <sheetData>
    <row r="1" spans="1:8" x14ac:dyDescent="0.3">
      <c r="H1" s="3">
        <f>SUM(H3:H4)</f>
        <v>20</v>
      </c>
    </row>
    <row r="2" spans="1:8" s="1" customFormat="1" ht="78" x14ac:dyDescent="0.3">
      <c r="A2" s="2" t="s">
        <v>100</v>
      </c>
      <c r="B2" s="2" t="s">
        <v>101</v>
      </c>
      <c r="C2" s="2" t="s">
        <v>109</v>
      </c>
      <c r="D2" s="2" t="s">
        <v>103</v>
      </c>
      <c r="E2" s="2" t="s">
        <v>107</v>
      </c>
      <c r="F2" s="1" t="s">
        <v>108</v>
      </c>
      <c r="G2" s="2" t="s">
        <v>102</v>
      </c>
      <c r="H2" s="2" t="s">
        <v>13</v>
      </c>
    </row>
    <row r="3" spans="1:8" x14ac:dyDescent="0.3">
      <c r="A3" s="3" t="s">
        <v>106</v>
      </c>
      <c r="B3" s="3" t="s">
        <v>105</v>
      </c>
      <c r="C3" s="3">
        <v>1</v>
      </c>
      <c r="D3" s="3" t="s">
        <v>104</v>
      </c>
      <c r="E3" s="3">
        <v>8</v>
      </c>
      <c r="F3">
        <v>4</v>
      </c>
      <c r="G3" s="3" t="str">
        <f>"BD:" &amp; A3 &amp; "-" &amp; B3 &amp; " " &amp; D3 &amp; C3</f>
        <v>BD:1A-1B MMF1</v>
      </c>
      <c r="H3" s="3">
        <v>10</v>
      </c>
    </row>
    <row r="4" spans="1:8" x14ac:dyDescent="0.3">
      <c r="A4" s="3" t="s">
        <v>106</v>
      </c>
      <c r="B4" s="3" t="s">
        <v>105</v>
      </c>
      <c r="C4" s="3">
        <v>2</v>
      </c>
      <c r="D4" s="3" t="s">
        <v>104</v>
      </c>
      <c r="E4" s="3">
        <v>8</v>
      </c>
      <c r="F4">
        <v>4</v>
      </c>
      <c r="G4" s="3" t="str">
        <f>"BD:" &amp; A4 &amp; "-" &amp; B4 &amp; " " &amp; D4 &amp; C4</f>
        <v>BD:1A-1B MMF2</v>
      </c>
      <c r="H4" s="3">
        <v>10</v>
      </c>
    </row>
    <row r="5" spans="1:8" x14ac:dyDescent="0.3">
      <c r="A5" s="3"/>
      <c r="B5" s="3"/>
      <c r="C5" s="3"/>
      <c r="D5" s="3"/>
      <c r="E5" s="3"/>
    </row>
    <row r="6" spans="1:8" x14ac:dyDescent="0.3">
      <c r="A6" s="3"/>
      <c r="B6" s="3"/>
      <c r="C6" s="3"/>
      <c r="D6" s="3"/>
      <c r="E6" s="3"/>
    </row>
    <row r="7" spans="1:8" x14ac:dyDescent="0.3">
      <c r="A7" s="3"/>
      <c r="B7" s="3"/>
      <c r="C7" s="3"/>
      <c r="D7" s="3"/>
      <c r="E7" s="3"/>
    </row>
    <row r="8" spans="1:8" x14ac:dyDescent="0.3">
      <c r="A8" s="3"/>
      <c r="B8" s="3"/>
      <c r="C8" s="3"/>
      <c r="D8" s="3"/>
      <c r="E8" s="3"/>
    </row>
    <row r="9" spans="1:8" x14ac:dyDescent="0.3">
      <c r="A9" s="3"/>
      <c r="B9" s="3"/>
      <c r="C9" s="3"/>
      <c r="D9" s="3"/>
      <c r="E9" s="3"/>
    </row>
    <row r="10" spans="1:8" x14ac:dyDescent="0.3">
      <c r="A10" s="3"/>
      <c r="B10" s="3"/>
      <c r="C10" s="3"/>
      <c r="D10" s="3"/>
      <c r="E10" s="3"/>
    </row>
    <row r="11" spans="1:8" x14ac:dyDescent="0.3">
      <c r="A11" s="3"/>
      <c r="B11" s="3"/>
      <c r="C11" s="3"/>
      <c r="D11" s="3"/>
      <c r="E11" s="3"/>
    </row>
    <row r="12" spans="1:8" x14ac:dyDescent="0.3">
      <c r="A12" s="3"/>
      <c r="B12" s="3"/>
      <c r="C12" s="3"/>
      <c r="D12" s="3"/>
      <c r="E12" s="3"/>
    </row>
    <row r="13" spans="1:8" x14ac:dyDescent="0.3">
      <c r="A13" s="3"/>
      <c r="B13" s="3"/>
      <c r="C13" s="3"/>
      <c r="D13" s="3"/>
      <c r="E13" s="3"/>
    </row>
    <row r="14" spans="1:8" x14ac:dyDescent="0.3">
      <c r="A14" s="3"/>
      <c r="B14" s="3"/>
      <c r="C14" s="3"/>
      <c r="D14" s="3"/>
      <c r="E14" s="3"/>
    </row>
    <row r="15" spans="1:8" x14ac:dyDescent="0.3">
      <c r="A15" s="3"/>
      <c r="B15" s="3"/>
      <c r="C15" s="3"/>
      <c r="D15" s="3"/>
      <c r="E15" s="3"/>
    </row>
    <row r="16" spans="1:8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  <row r="28" spans="1:5" x14ac:dyDescent="0.3">
      <c r="A28" s="3"/>
      <c r="B28" s="3"/>
      <c r="C28" s="3"/>
      <c r="D28" s="3"/>
      <c r="E28" s="3"/>
    </row>
    <row r="29" spans="1:5" x14ac:dyDescent="0.3">
      <c r="A29" s="3"/>
      <c r="B29" s="3"/>
      <c r="C29" s="3"/>
      <c r="D29" s="3"/>
      <c r="E29" s="3"/>
    </row>
    <row r="30" spans="1:5" x14ac:dyDescent="0.3">
      <c r="A30" s="3"/>
      <c r="B30" s="3"/>
      <c r="C30" s="3"/>
      <c r="D30" s="3"/>
      <c r="E30" s="3"/>
    </row>
    <row r="31" spans="1:5" x14ac:dyDescent="0.3">
      <c r="A31" s="3"/>
      <c r="B31" s="3"/>
      <c r="C31" s="3"/>
      <c r="D31" s="3"/>
      <c r="E31" s="3"/>
    </row>
    <row r="32" spans="1:5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  <row r="34" spans="1:5" x14ac:dyDescent="0.3">
      <c r="A34" s="3"/>
      <c r="B34" s="3"/>
      <c r="C34" s="3"/>
      <c r="D34" s="3"/>
      <c r="E3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CE0C-DC64-4D3D-BD58-1748EBF1E578}">
  <dimension ref="A1:M34"/>
  <sheetViews>
    <sheetView workbookViewId="0">
      <selection activeCell="G18" sqref="G18"/>
    </sheetView>
  </sheetViews>
  <sheetFormatPr defaultRowHeight="15.6" x14ac:dyDescent="0.3"/>
  <cols>
    <col min="3" max="3" width="18.796875" customWidth="1"/>
    <col min="6" max="6" width="8.796875" style="3"/>
    <col min="7" max="7" width="18.3984375" style="3" customWidth="1"/>
    <col min="8" max="9" width="8.796875" style="3"/>
  </cols>
  <sheetData>
    <row r="1" spans="1:13" x14ac:dyDescent="0.3">
      <c r="H1" s="3">
        <f>SUM(H3:H4)</f>
        <v>100</v>
      </c>
    </row>
    <row r="2" spans="1:13" s="1" customFormat="1" ht="78" x14ac:dyDescent="0.3">
      <c r="A2" s="2" t="s">
        <v>100</v>
      </c>
      <c r="B2" s="2" t="s">
        <v>101</v>
      </c>
      <c r="C2" s="2" t="s">
        <v>109</v>
      </c>
      <c r="D2" s="2" t="s">
        <v>103</v>
      </c>
      <c r="E2" s="2" t="s">
        <v>107</v>
      </c>
      <c r="F2" s="2" t="s">
        <v>108</v>
      </c>
      <c r="G2" s="2" t="s">
        <v>102</v>
      </c>
      <c r="H2" s="2" t="s">
        <v>110</v>
      </c>
      <c r="I2" s="2" t="s">
        <v>111</v>
      </c>
      <c r="M2" s="1" t="s">
        <v>112</v>
      </c>
    </row>
    <row r="3" spans="1:13" x14ac:dyDescent="0.3">
      <c r="A3" s="3">
        <v>1</v>
      </c>
      <c r="B3" s="3">
        <v>2</v>
      </c>
      <c r="C3" s="3">
        <v>1</v>
      </c>
      <c r="D3" s="3" t="s">
        <v>104</v>
      </c>
      <c r="E3" s="3">
        <v>8</v>
      </c>
      <c r="F3" s="3">
        <v>4</v>
      </c>
      <c r="G3" s="3" t="str">
        <f>"CD:" &amp; A3 &amp; "-" &amp; B3 &amp; " " &amp; D3 &amp; C3</f>
        <v>CD:1-2 MMF1</v>
      </c>
      <c r="H3" s="3">
        <v>50</v>
      </c>
    </row>
    <row r="4" spans="1:13" x14ac:dyDescent="0.3">
      <c r="A4" s="3">
        <v>2</v>
      </c>
      <c r="B4" s="3">
        <v>3</v>
      </c>
      <c r="C4" s="3">
        <v>2</v>
      </c>
      <c r="D4" s="3" t="s">
        <v>104</v>
      </c>
      <c r="E4" s="3">
        <v>8</v>
      </c>
      <c r="F4" s="3">
        <v>4</v>
      </c>
      <c r="G4" s="3" t="str">
        <f>"CD:" &amp; A4 &amp; "-" &amp; B4 &amp; " " &amp; D4 &amp; C4</f>
        <v>CD:2-3 MMF2</v>
      </c>
      <c r="H4" s="3">
        <v>50</v>
      </c>
    </row>
    <row r="5" spans="1:13" x14ac:dyDescent="0.3">
      <c r="A5" s="3"/>
      <c r="B5" s="3"/>
      <c r="C5" s="3"/>
      <c r="D5" s="3"/>
      <c r="E5" s="3"/>
    </row>
    <row r="6" spans="1:13" x14ac:dyDescent="0.3">
      <c r="A6" s="3"/>
      <c r="B6" s="3"/>
      <c r="C6" s="3"/>
      <c r="D6" s="3"/>
      <c r="E6" s="3"/>
    </row>
    <row r="7" spans="1:13" x14ac:dyDescent="0.3">
      <c r="A7" s="3">
        <v>1</v>
      </c>
      <c r="B7" s="3">
        <v>2</v>
      </c>
      <c r="C7" s="3">
        <v>1</v>
      </c>
      <c r="D7" s="3" t="s">
        <v>113</v>
      </c>
      <c r="E7" s="3">
        <v>50</v>
      </c>
      <c r="F7" s="3">
        <v>25</v>
      </c>
      <c r="G7" s="3" t="str">
        <f>"CD:" &amp; A7 &amp; "-" &amp; B7 &amp; " " &amp; D7 &amp; C7</f>
        <v>CD:1-2 BC1</v>
      </c>
      <c r="I7" s="3">
        <v>50</v>
      </c>
    </row>
    <row r="8" spans="1:13" x14ac:dyDescent="0.3">
      <c r="A8" s="3"/>
      <c r="B8" s="3"/>
      <c r="C8" s="3"/>
      <c r="D8" s="3"/>
      <c r="E8" s="3"/>
    </row>
    <row r="9" spans="1:13" x14ac:dyDescent="0.3">
      <c r="A9" s="3"/>
      <c r="B9" s="3"/>
      <c r="C9" s="3"/>
      <c r="D9" s="3"/>
      <c r="E9" s="3"/>
    </row>
    <row r="10" spans="1:13" x14ac:dyDescent="0.3">
      <c r="A10" s="3"/>
      <c r="B10" s="3"/>
      <c r="C10" s="3"/>
      <c r="D10" s="3"/>
      <c r="E10" s="3"/>
    </row>
    <row r="11" spans="1:13" x14ac:dyDescent="0.3">
      <c r="A11" s="3"/>
      <c r="B11" s="3"/>
      <c r="C11" s="3"/>
      <c r="D11" s="3"/>
      <c r="E11" s="3"/>
    </row>
    <row r="12" spans="1:13" x14ac:dyDescent="0.3">
      <c r="A12" s="3"/>
      <c r="B12" s="3"/>
      <c r="C12" s="3"/>
      <c r="D12" s="3"/>
      <c r="E12" s="3"/>
    </row>
    <row r="13" spans="1:13" x14ac:dyDescent="0.3">
      <c r="A13" s="3"/>
      <c r="B13" s="3"/>
      <c r="C13" s="3"/>
      <c r="D13" s="3"/>
      <c r="E13" s="3"/>
    </row>
    <row r="14" spans="1:13" x14ac:dyDescent="0.3">
      <c r="A14" s="3"/>
      <c r="B14" s="3"/>
      <c r="C14" s="3"/>
      <c r="D14" s="3"/>
      <c r="E14" s="3"/>
    </row>
    <row r="15" spans="1:13" x14ac:dyDescent="0.3">
      <c r="A15" s="3"/>
      <c r="B15" s="3"/>
      <c r="C15" s="3"/>
      <c r="D15" s="3"/>
      <c r="E15" s="3"/>
    </row>
    <row r="16" spans="1:13" x14ac:dyDescent="0.3">
      <c r="A16" s="3"/>
      <c r="B16" s="3"/>
      <c r="C16" s="3"/>
      <c r="D16" s="3"/>
      <c r="E16" s="3"/>
    </row>
    <row r="17" spans="1:6" x14ac:dyDescent="0.3">
      <c r="A17" s="3"/>
      <c r="B17" s="3"/>
      <c r="C17" s="3"/>
      <c r="D17" s="3"/>
      <c r="E17" s="3"/>
    </row>
    <row r="18" spans="1:6" x14ac:dyDescent="0.3">
      <c r="A18" s="3"/>
      <c r="B18" s="3"/>
      <c r="C18" s="3"/>
      <c r="D18" s="3"/>
      <c r="E18" s="3"/>
    </row>
    <row r="19" spans="1:6" x14ac:dyDescent="0.3">
      <c r="A19" s="3"/>
      <c r="B19" s="3"/>
      <c r="C19" s="3"/>
      <c r="D19" s="3"/>
      <c r="E19" s="3"/>
    </row>
    <row r="20" spans="1:6" x14ac:dyDescent="0.3">
      <c r="A20" s="3"/>
      <c r="B20" s="3"/>
      <c r="C20" s="3"/>
      <c r="D20" s="3"/>
      <c r="E20" s="3"/>
    </row>
    <row r="21" spans="1:6" x14ac:dyDescent="0.3">
      <c r="A21" s="3"/>
      <c r="B21" s="3"/>
      <c r="C21" s="3"/>
      <c r="D21" s="3"/>
      <c r="E21" s="3"/>
    </row>
    <row r="22" spans="1:6" x14ac:dyDescent="0.3">
      <c r="A22" s="3"/>
      <c r="B22" s="3"/>
      <c r="C22" s="3"/>
      <c r="D22" s="3"/>
      <c r="E22" s="3"/>
    </row>
    <row r="23" spans="1:6" x14ac:dyDescent="0.3">
      <c r="A23" s="3"/>
      <c r="B23" s="3"/>
      <c r="C23" s="3"/>
      <c r="D23" s="3"/>
      <c r="E23" s="3"/>
      <c r="F23" s="3" t="s">
        <v>79</v>
      </c>
    </row>
    <row r="24" spans="1:6" x14ac:dyDescent="0.3">
      <c r="A24" s="3"/>
      <c r="B24" s="3"/>
      <c r="C24" s="3"/>
      <c r="D24" s="3"/>
      <c r="E24" s="3"/>
    </row>
    <row r="25" spans="1:6" x14ac:dyDescent="0.3">
      <c r="A25" s="3"/>
      <c r="B25" s="3"/>
      <c r="C25" s="3"/>
      <c r="D25" s="3"/>
      <c r="E25" s="3"/>
    </row>
    <row r="26" spans="1:6" x14ac:dyDescent="0.3">
      <c r="A26" s="3"/>
      <c r="B26" s="3"/>
      <c r="C26" s="3"/>
      <c r="D26" s="3"/>
      <c r="E26" s="3"/>
    </row>
    <row r="27" spans="1:6" x14ac:dyDescent="0.3">
      <c r="A27" s="3"/>
      <c r="B27" s="3"/>
      <c r="C27" s="3"/>
      <c r="D27" s="3"/>
      <c r="E27" s="3"/>
    </row>
    <row r="28" spans="1:6" x14ac:dyDescent="0.3">
      <c r="A28" s="3"/>
      <c r="B28" s="3"/>
      <c r="C28" s="3"/>
      <c r="D28" s="3"/>
      <c r="E28" s="3"/>
    </row>
    <row r="29" spans="1:6" x14ac:dyDescent="0.3">
      <c r="A29" s="3"/>
      <c r="B29" s="3"/>
      <c r="C29" s="3"/>
      <c r="D29" s="3"/>
      <c r="E29" s="3"/>
    </row>
    <row r="30" spans="1:6" x14ac:dyDescent="0.3">
      <c r="A30" s="3"/>
      <c r="B30" s="3"/>
      <c r="C30" s="3"/>
      <c r="D30" s="3"/>
      <c r="E30" s="3"/>
    </row>
    <row r="31" spans="1:6" x14ac:dyDescent="0.3">
      <c r="A31" s="3"/>
      <c r="B31" s="3"/>
      <c r="C31" s="3"/>
      <c r="D31" s="3"/>
      <c r="E31" s="3"/>
    </row>
    <row r="32" spans="1:6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  <row r="34" spans="1:5" x14ac:dyDescent="0.3">
      <c r="A34" s="3"/>
      <c r="B34" s="3"/>
      <c r="C34" s="3"/>
      <c r="D34" s="3"/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Summary</vt:lpstr>
      <vt:lpstr>FD1A</vt:lpstr>
      <vt:lpstr>BD1</vt:lpstr>
      <vt:lpstr>CD</vt:lpstr>
      <vt:lpstr>switch_1000mbs</vt:lpstr>
      <vt:lpstr>switch_100mbs</vt:lpstr>
      <vt:lpstr>switch_10mbs</vt:lpstr>
      <vt:lpstr>TotalCAT6</vt:lpstr>
      <vt:lpstr>TotalCAT6Length</vt:lpstr>
      <vt:lpstr>TotcalCAT6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Ayobami Pase</dc:creator>
  <cp:lastModifiedBy>Ayobami Pase</cp:lastModifiedBy>
  <dcterms:created xsi:type="dcterms:W3CDTF">2026-02-01T17:33:12Z</dcterms:created>
  <dcterms:modified xsi:type="dcterms:W3CDTF">2026-02-07T17:50:20Z</dcterms:modified>
</cp:coreProperties>
</file>